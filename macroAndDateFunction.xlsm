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paras\"/>
    </mc:Choice>
  </mc:AlternateContent>
  <bookViews>
    <workbookView xWindow="0" yWindow="0" windowWidth="15330" windowHeight="3915" firstSheet="3" activeTab="9"/>
  </bookViews>
  <sheets>
    <sheet name="DateFunction" sheetId="1" r:id="rId1"/>
    <sheet name="Macro" sheetId="2" r:id="rId2"/>
    <sheet name="Sheet3" sheetId="3" r:id="rId3"/>
    <sheet name="Sheet7" sheetId="7" r:id="rId4"/>
    <sheet name="Sheet4" sheetId="4" r:id="rId5"/>
    <sheet name="Sheet5" sheetId="5" r:id="rId6"/>
    <sheet name="Sheet6" sheetId="6" r:id="rId7"/>
    <sheet name="Sheet9" sheetId="9" r:id="rId8"/>
    <sheet name="Sheet8" sheetId="8" r:id="rId9"/>
    <sheet name="Sheet13" sheetId="13" r:id="rId10"/>
    <sheet name="Sheet10" sheetId="10" r:id="rId11"/>
    <sheet name="Sheet11" sheetId="11" r:id="rId12"/>
    <sheet name="Sheet12" sheetId="12" r:id="rId13"/>
  </sheets>
  <calcPr calcId="162913"/>
  <pivotCaches>
    <pivotCache cacheId="3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3" l="1"/>
  <c r="E4" i="13"/>
  <c r="E5" i="13"/>
  <c r="E6" i="13"/>
  <c r="E2" i="13"/>
  <c r="D2" i="13"/>
  <c r="D2" i="8"/>
  <c r="D6" i="10"/>
  <c r="E3" i="12"/>
  <c r="E4" i="12"/>
  <c r="E5" i="12"/>
  <c r="E6" i="12"/>
  <c r="E2" i="12"/>
  <c r="E3" i="11"/>
  <c r="E4" i="11"/>
  <c r="E5" i="11"/>
  <c r="E6" i="11"/>
  <c r="E2" i="11"/>
  <c r="A1" i="10"/>
  <c r="G3" i="9"/>
  <c r="G4" i="9"/>
  <c r="G5" i="9"/>
  <c r="G6" i="9"/>
  <c r="G2" i="9"/>
  <c r="F3" i="9"/>
  <c r="F4" i="9"/>
  <c r="F5" i="9"/>
  <c r="F6" i="9"/>
  <c r="F2" i="9"/>
  <c r="A1" i="9"/>
  <c r="H3" i="2"/>
  <c r="G3" i="2"/>
  <c r="F4" i="6"/>
  <c r="F5" i="6"/>
  <c r="F6" i="6"/>
  <c r="F7" i="6"/>
  <c r="F3" i="6"/>
  <c r="E4" i="6"/>
  <c r="E5" i="6"/>
  <c r="E6" i="6"/>
  <c r="E7" i="6"/>
  <c r="E3" i="6"/>
  <c r="F4" i="4"/>
  <c r="F5" i="4"/>
  <c r="F6" i="4"/>
  <c r="F7" i="4"/>
  <c r="F3" i="4"/>
  <c r="E4" i="4"/>
  <c r="E5" i="4"/>
  <c r="E6" i="4"/>
  <c r="E7" i="4"/>
  <c r="E3" i="4"/>
  <c r="F4" i="3"/>
  <c r="F5" i="3"/>
  <c r="F6" i="3"/>
  <c r="F7" i="3"/>
  <c r="F3" i="3"/>
  <c r="E4" i="3"/>
  <c r="E5" i="3"/>
  <c r="E6" i="3"/>
  <c r="E7" i="3"/>
  <c r="E3" i="3"/>
  <c r="F4" i="2"/>
  <c r="F5" i="2"/>
  <c r="F6" i="2"/>
  <c r="F7" i="2"/>
  <c r="F3" i="2"/>
  <c r="E4" i="2"/>
  <c r="E5" i="2"/>
  <c r="E6" i="2"/>
  <c r="E7" i="2"/>
  <c r="E3" i="2"/>
  <c r="D14" i="1"/>
  <c r="H10" i="1"/>
  <c r="E10" i="1"/>
  <c r="D12" i="1"/>
  <c r="E12" i="1" s="1"/>
  <c r="D11" i="1"/>
  <c r="E11" i="1" s="1"/>
  <c r="F8" i="1"/>
  <c r="F7" i="1"/>
  <c r="F6" i="1"/>
  <c r="A6" i="1"/>
  <c r="A5" i="1"/>
  <c r="A4" i="1"/>
  <c r="A2" i="1"/>
  <c r="A3" i="1" s="1"/>
  <c r="A1" i="1"/>
</calcChain>
</file>

<file path=xl/sharedStrings.xml><?xml version="1.0" encoding="utf-8"?>
<sst xmlns="http://schemas.openxmlformats.org/spreadsheetml/2006/main" count="176" uniqueCount="37">
  <si>
    <t>Curent Date</t>
  </si>
  <si>
    <t xml:space="preserve">Curent Date and time </t>
  </si>
  <si>
    <t>now()</t>
  </si>
  <si>
    <t>hour(now())</t>
  </si>
  <si>
    <t>minute</t>
  </si>
  <si>
    <t>second</t>
  </si>
  <si>
    <t>today()</t>
  </si>
  <si>
    <t>name</t>
  </si>
  <si>
    <t>mobile</t>
  </si>
  <si>
    <t>reDate</t>
  </si>
  <si>
    <t>ExDate</t>
  </si>
  <si>
    <t>Amount</t>
  </si>
  <si>
    <t>a</t>
  </si>
  <si>
    <t>b</t>
  </si>
  <si>
    <t>c</t>
  </si>
  <si>
    <t>hindi</t>
  </si>
  <si>
    <t>english</t>
  </si>
  <si>
    <t>math</t>
  </si>
  <si>
    <t>d</t>
  </si>
  <si>
    <t>e</t>
  </si>
  <si>
    <t>Student MarkSheet</t>
  </si>
  <si>
    <t>Name</t>
  </si>
  <si>
    <t>Hindi</t>
  </si>
  <si>
    <t>English</t>
  </si>
  <si>
    <t>Math</t>
  </si>
  <si>
    <t>Total Marks</t>
  </si>
  <si>
    <t>Status</t>
  </si>
  <si>
    <t>Row Labels</t>
  </si>
  <si>
    <t>Grand Total</t>
  </si>
  <si>
    <t>Column Labels</t>
  </si>
  <si>
    <t>Pass</t>
  </si>
  <si>
    <t>Count of Status</t>
  </si>
  <si>
    <t>Sum of Total Marks</t>
  </si>
  <si>
    <t>Total Sum of Total Marks</t>
  </si>
  <si>
    <t>Total Count of Status</t>
  </si>
  <si>
    <t>sum</t>
  </si>
  <si>
    <t>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</si>
</sst>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22" fontId="0" fillId="0" borderId="0" xfId="0" applyNumberFormat="1"/>
    <xf numFmtId="20" fontId="0" fillId="0" borderId="0" xfId="0" applyNumberFormat="1"/>
    <xf numFmtId="165" fontId="0" fillId="0" borderId="0" xfId="0" applyNumberFormat="1"/>
    <xf numFmtId="0" fontId="2" fillId="2" borderId="0" xfId="0" applyFont="1" applyFill="1" applyAlignment="1">
      <alignment horizontal="center"/>
    </xf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857.432225578705" createdVersion="6" refreshedVersion="6" minRefreshableVersion="3" recordCount="5">
  <cacheSource type="worksheet">
    <worksheetSource ref="A2:F7" sheet="Macro"/>
  </cacheSource>
  <cacheFields count="6">
    <cacheField name="Name" numFmtId="0">
      <sharedItems count="5">
        <s v="a"/>
        <s v="b"/>
        <s v="c"/>
        <s v="d"/>
        <s v="e"/>
      </sharedItems>
    </cacheField>
    <cacheField name="Hindi" numFmtId="0">
      <sharedItems containsSemiMixedTypes="0" containsString="0" containsNumber="1" containsInteger="1" minValue="45" maxValue="78"/>
    </cacheField>
    <cacheField name="English" numFmtId="0">
      <sharedItems containsSemiMixedTypes="0" containsString="0" containsNumber="1" containsInteger="1" minValue="56" maxValue="89"/>
    </cacheField>
    <cacheField name="Math" numFmtId="0">
      <sharedItems containsSemiMixedTypes="0" containsString="0" containsNumber="1" containsInteger="1" minValue="67" maxValue="78"/>
    </cacheField>
    <cacheField name="Total Marks" numFmtId="0">
      <sharedItems containsSemiMixedTypes="0" containsString="0" containsNumber="1" containsInteger="1" minValue="168" maxValue="234"/>
    </cacheField>
    <cacheField name="Status" numFmtId="0">
      <sharedItems count="1">
        <s v="Pas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45"/>
    <n v="56"/>
    <n v="67"/>
    <n v="168"/>
    <x v="0"/>
  </r>
  <r>
    <x v="1"/>
    <n v="67"/>
    <n v="78"/>
    <n v="67"/>
    <n v="212"/>
    <x v="0"/>
  </r>
  <r>
    <x v="2"/>
    <n v="78"/>
    <n v="89"/>
    <n v="67"/>
    <n v="234"/>
    <x v="0"/>
  </r>
  <r>
    <x v="3"/>
    <n v="78"/>
    <n v="89"/>
    <n v="67"/>
    <n v="234"/>
    <x v="0"/>
  </r>
  <r>
    <x v="4"/>
    <n v="56"/>
    <n v="67"/>
    <n v="78"/>
    <n v="20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10:I18" firstHeaderRow="1" firstDataRow="3" firstDataCol="1"/>
  <pivotFields count="6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axis="axisCol" dataField="1" showAll="0">
      <items count="2">
        <item x="0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 of Total Marks" fld="4" baseField="0" baseItem="0"/>
    <dataField name="Count of Status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workbookViewId="0">
      <selection activeCell="A17" sqref="A17"/>
    </sheetView>
  </sheetViews>
  <sheetFormatPr defaultRowHeight="15" x14ac:dyDescent="0.25"/>
  <cols>
    <col min="1" max="1" width="13.5703125" bestFit="1" customWidth="1"/>
    <col min="5" max="5" width="15.7109375" bestFit="1" customWidth="1"/>
    <col min="6" max="6" width="13.5703125" bestFit="1" customWidth="1"/>
    <col min="8" max="8" width="12.5703125" bestFit="1" customWidth="1"/>
  </cols>
  <sheetData>
    <row r="1" spans="1:8" x14ac:dyDescent="0.25">
      <c r="A1" s="1">
        <f ca="1">TODAY()</f>
        <v>43857</v>
      </c>
      <c r="B1" t="s">
        <v>6</v>
      </c>
      <c r="C1" t="s">
        <v>0</v>
      </c>
    </row>
    <row r="2" spans="1:8" x14ac:dyDescent="0.25">
      <c r="A2" s="2">
        <f ca="1">NOW()</f>
        <v>43857.443349537039</v>
      </c>
      <c r="B2" t="s">
        <v>2</v>
      </c>
      <c r="C2" t="s">
        <v>1</v>
      </c>
      <c r="F2" s="2"/>
    </row>
    <row r="3" spans="1:8" x14ac:dyDescent="0.25">
      <c r="A3">
        <f ca="1">HOUR(A2)</f>
        <v>10</v>
      </c>
    </row>
    <row r="4" spans="1:8" x14ac:dyDescent="0.25">
      <c r="A4">
        <f ca="1">HOUR(NOW())</f>
        <v>10</v>
      </c>
      <c r="B4" t="s">
        <v>3</v>
      </c>
      <c r="F4" s="3">
        <v>5.0567129629629635E-2</v>
      </c>
    </row>
    <row r="5" spans="1:8" x14ac:dyDescent="0.25">
      <c r="A5">
        <f ca="1">MINUTE(NOW())</f>
        <v>38</v>
      </c>
      <c r="B5" t="s">
        <v>4</v>
      </c>
    </row>
    <row r="6" spans="1:8" x14ac:dyDescent="0.25">
      <c r="A6">
        <f ca="1">SECOND(NOW())</f>
        <v>25</v>
      </c>
      <c r="B6" t="s">
        <v>5</v>
      </c>
      <c r="F6">
        <f>HOUR(F4)</f>
        <v>1</v>
      </c>
    </row>
    <row r="7" spans="1:8" x14ac:dyDescent="0.25">
      <c r="F7">
        <f>MINUTE(F4)</f>
        <v>12</v>
      </c>
    </row>
    <row r="8" spans="1:8" x14ac:dyDescent="0.25">
      <c r="F8">
        <f>SECOND(F4)</f>
        <v>49</v>
      </c>
    </row>
    <row r="9" spans="1:8" x14ac:dyDescent="0.25">
      <c r="A9" t="s">
        <v>7</v>
      </c>
      <c r="B9" t="s">
        <v>8</v>
      </c>
      <c r="C9" t="s">
        <v>11</v>
      </c>
      <c r="D9" t="s">
        <v>9</v>
      </c>
      <c r="E9" t="s">
        <v>10</v>
      </c>
    </row>
    <row r="10" spans="1:8" x14ac:dyDescent="0.25">
      <c r="A10" t="s">
        <v>12</v>
      </c>
      <c r="B10">
        <v>234294</v>
      </c>
      <c r="C10">
        <v>45</v>
      </c>
      <c r="D10" s="1">
        <v>43857</v>
      </c>
      <c r="E10" s="4">
        <f>D10+C10</f>
        <v>43902</v>
      </c>
      <c r="F10" s="1"/>
      <c r="H10" s="4">
        <f>E10+99-1</f>
        <v>44000</v>
      </c>
    </row>
    <row r="11" spans="1:8" x14ac:dyDescent="0.25">
      <c r="A11" t="s">
        <v>13</v>
      </c>
      <c r="B11">
        <v>3243204</v>
      </c>
      <c r="C11">
        <v>199</v>
      </c>
      <c r="D11" s="1">
        <f ca="1">TODAY()</f>
        <v>43857</v>
      </c>
      <c r="E11" s="4">
        <f t="shared" ref="E11:E12" ca="1" si="0">D11+C11</f>
        <v>44056</v>
      </c>
    </row>
    <row r="12" spans="1:8" x14ac:dyDescent="0.25">
      <c r="A12" t="s">
        <v>14</v>
      </c>
      <c r="B12">
        <v>234324</v>
      </c>
      <c r="C12">
        <v>249</v>
      </c>
      <c r="D12" s="1">
        <f ca="1">TODAY()</f>
        <v>43857</v>
      </c>
      <c r="E12" s="4">
        <f t="shared" ca="1" si="0"/>
        <v>44106</v>
      </c>
    </row>
    <row r="14" spans="1:8" x14ac:dyDescent="0.25">
      <c r="D14" s="1">
        <f ca="1">TODAY()-100</f>
        <v>43757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8"/>
  <sheetViews>
    <sheetView workbookViewId="0">
      <selection activeCell="E10" sqref="E10"/>
    </sheetView>
  </sheetViews>
  <sheetFormatPr defaultRowHeight="15" x14ac:dyDescent="0.25"/>
  <cols>
    <col min="5" max="5" width="13.140625" customWidth="1"/>
    <col min="6" max="6" width="18.140625" customWidth="1"/>
    <col min="7" max="7" width="14.5703125" bestFit="1" customWidth="1"/>
    <col min="8" max="8" width="23.140625" bestFit="1" customWidth="1"/>
    <col min="9" max="9" width="19.5703125" bestFit="1" customWidth="1"/>
  </cols>
  <sheetData>
    <row r="1" spans="1:9" x14ac:dyDescent="0.25">
      <c r="A1" s="5" t="s">
        <v>20</v>
      </c>
      <c r="B1" s="5"/>
      <c r="C1" s="5"/>
      <c r="D1" s="5"/>
    </row>
    <row r="2" spans="1:9" x14ac:dyDescent="0.25">
      <c r="A2" s="6" t="s">
        <v>21</v>
      </c>
      <c r="B2" s="6" t="s">
        <v>22</v>
      </c>
      <c r="C2" s="6" t="s">
        <v>23</v>
      </c>
      <c r="D2" s="6" t="s">
        <v>24</v>
      </c>
      <c r="E2" s="6" t="s">
        <v>25</v>
      </c>
      <c r="F2" s="6" t="s">
        <v>26</v>
      </c>
    </row>
    <row r="3" spans="1:9" x14ac:dyDescent="0.25">
      <c r="A3" t="s">
        <v>12</v>
      </c>
      <c r="B3">
        <v>45</v>
      </c>
      <c r="C3">
        <v>56</v>
      </c>
      <c r="D3">
        <v>67</v>
      </c>
      <c r="E3">
        <f>SUM(B3:D3)</f>
        <v>168</v>
      </c>
      <c r="F3" t="str">
        <f>IF(COUNTIF(B3:D3,"&lt;30")=0,"Pass","Fail")</f>
        <v>Pass</v>
      </c>
      <c r="G3">
        <f>COUNTIF(B3:D3,"&lt;30")</f>
        <v>0</v>
      </c>
      <c r="H3" t="str">
        <f>IF(G3=0,"pass","Fail")</f>
        <v>pass</v>
      </c>
    </row>
    <row r="4" spans="1:9" x14ac:dyDescent="0.25">
      <c r="A4" t="s">
        <v>13</v>
      </c>
      <c r="B4">
        <v>67</v>
      </c>
      <c r="C4">
        <v>78</v>
      </c>
      <c r="D4">
        <v>67</v>
      </c>
      <c r="E4">
        <f t="shared" ref="E4:E7" si="0">SUM(B4:D4)</f>
        <v>212</v>
      </c>
      <c r="F4" t="str">
        <f t="shared" ref="F4:F7" si="1">IF(COUNTIF(B4:D4,"&lt;30")=0,"Pass","Fail")</f>
        <v>Pass</v>
      </c>
    </row>
    <row r="5" spans="1:9" x14ac:dyDescent="0.25">
      <c r="A5" t="s">
        <v>14</v>
      </c>
      <c r="B5">
        <v>78</v>
      </c>
      <c r="C5">
        <v>89</v>
      </c>
      <c r="D5">
        <v>67</v>
      </c>
      <c r="E5">
        <f t="shared" si="0"/>
        <v>234</v>
      </c>
      <c r="F5" t="str">
        <f t="shared" si="1"/>
        <v>Pass</v>
      </c>
    </row>
    <row r="6" spans="1:9" x14ac:dyDescent="0.25">
      <c r="A6" t="s">
        <v>18</v>
      </c>
      <c r="B6">
        <v>78</v>
      </c>
      <c r="C6">
        <v>89</v>
      </c>
      <c r="D6">
        <v>67</v>
      </c>
      <c r="E6">
        <f t="shared" si="0"/>
        <v>234</v>
      </c>
      <c r="F6" t="str">
        <f t="shared" si="1"/>
        <v>Pass</v>
      </c>
    </row>
    <row r="7" spans="1:9" x14ac:dyDescent="0.25">
      <c r="A7" t="s">
        <v>19</v>
      </c>
      <c r="B7">
        <v>56</v>
      </c>
      <c r="C7">
        <v>67</v>
      </c>
      <c r="D7">
        <v>78</v>
      </c>
      <c r="E7">
        <f t="shared" si="0"/>
        <v>201</v>
      </c>
      <c r="F7" t="str">
        <f t="shared" si="1"/>
        <v>Pass</v>
      </c>
    </row>
    <row r="10" spans="1:9" x14ac:dyDescent="0.25">
      <c r="F10" s="7" t="s">
        <v>29</v>
      </c>
    </row>
    <row r="11" spans="1:9" x14ac:dyDescent="0.25">
      <c r="F11" t="s">
        <v>30</v>
      </c>
      <c r="H11" t="s">
        <v>33</v>
      </c>
      <c r="I11" t="s">
        <v>34</v>
      </c>
    </row>
    <row r="12" spans="1:9" x14ac:dyDescent="0.25">
      <c r="E12" s="7" t="s">
        <v>27</v>
      </c>
      <c r="F12" t="s">
        <v>32</v>
      </c>
      <c r="G12" t="s">
        <v>31</v>
      </c>
    </row>
    <row r="13" spans="1:9" x14ac:dyDescent="0.25">
      <c r="E13" s="8" t="s">
        <v>12</v>
      </c>
      <c r="F13" s="9">
        <v>168</v>
      </c>
      <c r="G13" s="9">
        <v>1</v>
      </c>
      <c r="H13" s="9">
        <v>168</v>
      </c>
      <c r="I13" s="9">
        <v>1</v>
      </c>
    </row>
    <row r="14" spans="1:9" x14ac:dyDescent="0.25">
      <c r="E14" s="8" t="s">
        <v>13</v>
      </c>
      <c r="F14" s="9">
        <v>212</v>
      </c>
      <c r="G14" s="9">
        <v>1</v>
      </c>
      <c r="H14" s="9">
        <v>212</v>
      </c>
      <c r="I14" s="9">
        <v>1</v>
      </c>
    </row>
    <row r="15" spans="1:9" x14ac:dyDescent="0.25">
      <c r="E15" s="8" t="s">
        <v>14</v>
      </c>
      <c r="F15" s="9">
        <v>234</v>
      </c>
      <c r="G15" s="9">
        <v>1</v>
      </c>
      <c r="H15" s="9">
        <v>234</v>
      </c>
      <c r="I15" s="9">
        <v>1</v>
      </c>
    </row>
    <row r="16" spans="1:9" x14ac:dyDescent="0.25">
      <c r="E16" s="8" t="s">
        <v>18</v>
      </c>
      <c r="F16" s="9">
        <v>234</v>
      </c>
      <c r="G16" s="9">
        <v>1</v>
      </c>
      <c r="H16" s="9">
        <v>234</v>
      </c>
      <c r="I16" s="9">
        <v>1</v>
      </c>
    </row>
    <row r="17" spans="5:9" x14ac:dyDescent="0.25">
      <c r="E17" s="8" t="s">
        <v>19</v>
      </c>
      <c r="F17" s="9">
        <v>201</v>
      </c>
      <c r="G17" s="9">
        <v>1</v>
      </c>
      <c r="H17" s="9">
        <v>201</v>
      </c>
      <c r="I17" s="9">
        <v>1</v>
      </c>
    </row>
    <row r="18" spans="5:9" x14ac:dyDescent="0.25">
      <c r="E18" s="8" t="s">
        <v>28</v>
      </c>
      <c r="F18" s="9">
        <v>1049</v>
      </c>
      <c r="G18" s="9">
        <v>5</v>
      </c>
      <c r="H18" s="9">
        <v>1049</v>
      </c>
      <c r="I18" s="9">
        <v>5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7"/>
  <sheetViews>
    <sheetView workbookViewId="0">
      <selection activeCell="A2" sqref="A2:F7"/>
    </sheetView>
  </sheetViews>
  <sheetFormatPr defaultRowHeight="15" x14ac:dyDescent="0.25"/>
  <cols>
    <col min="5" max="5" width="12.5703125" customWidth="1"/>
    <col min="6" max="6" width="12.140625" customWidth="1"/>
  </cols>
  <sheetData>
    <row r="1" spans="1:6" x14ac:dyDescent="0.25">
      <c r="A1" s="5" t="s">
        <v>20</v>
      </c>
      <c r="B1" s="5"/>
      <c r="C1" s="5"/>
      <c r="D1" s="5"/>
    </row>
    <row r="2" spans="1:6" x14ac:dyDescent="0.25">
      <c r="A2" s="6" t="s">
        <v>21</v>
      </c>
      <c r="B2" s="6" t="s">
        <v>22</v>
      </c>
      <c r="C2" s="6" t="s">
        <v>23</v>
      </c>
      <c r="D2" s="6" t="s">
        <v>24</v>
      </c>
      <c r="E2" s="6" t="s">
        <v>25</v>
      </c>
      <c r="F2" s="6" t="s">
        <v>26</v>
      </c>
    </row>
    <row r="3" spans="1:6" x14ac:dyDescent="0.25">
      <c r="A3" t="s">
        <v>12</v>
      </c>
      <c r="B3">
        <v>56</v>
      </c>
      <c r="C3">
        <v>56</v>
      </c>
      <c r="D3">
        <v>67</v>
      </c>
      <c r="E3">
        <f>SUM(B3:D3)</f>
        <v>179</v>
      </c>
      <c r="F3" t="str">
        <f>IF(COUNTIF(B3:D3,"&lt;30")=0,"Pass","Fail")</f>
        <v>Pass</v>
      </c>
    </row>
    <row r="4" spans="1:6" x14ac:dyDescent="0.25">
      <c r="A4" t="s">
        <v>13</v>
      </c>
      <c r="B4">
        <v>68</v>
      </c>
      <c r="C4">
        <v>78</v>
      </c>
      <c r="D4">
        <v>67</v>
      </c>
      <c r="E4">
        <f t="shared" ref="E4:E7" si="0">SUM(B4:D4)</f>
        <v>213</v>
      </c>
      <c r="F4" t="str">
        <f t="shared" ref="F4:F7" si="1">IF(COUNTIF(B4:D4,"&lt;30")=0,"Pass","Fail")</f>
        <v>Pass</v>
      </c>
    </row>
    <row r="5" spans="1:6" x14ac:dyDescent="0.25">
      <c r="A5" t="s">
        <v>14</v>
      </c>
      <c r="B5">
        <v>78</v>
      </c>
      <c r="C5">
        <v>89</v>
      </c>
      <c r="D5">
        <v>67</v>
      </c>
      <c r="E5">
        <f t="shared" si="0"/>
        <v>234</v>
      </c>
      <c r="F5" t="str">
        <f t="shared" si="1"/>
        <v>Pass</v>
      </c>
    </row>
    <row r="6" spans="1:6" x14ac:dyDescent="0.25">
      <c r="A6" t="s">
        <v>18</v>
      </c>
      <c r="B6">
        <v>78</v>
      </c>
      <c r="C6">
        <v>89</v>
      </c>
      <c r="D6">
        <v>67</v>
      </c>
      <c r="E6">
        <f t="shared" si="0"/>
        <v>234</v>
      </c>
      <c r="F6" t="str">
        <f t="shared" si="1"/>
        <v>Pass</v>
      </c>
    </row>
    <row r="7" spans="1:6" x14ac:dyDescent="0.25">
      <c r="A7" t="s">
        <v>19</v>
      </c>
      <c r="B7">
        <v>56</v>
      </c>
      <c r="C7">
        <v>67</v>
      </c>
      <c r="D7">
        <v>78</v>
      </c>
      <c r="E7">
        <f t="shared" si="0"/>
        <v>201</v>
      </c>
      <c r="F7" t="str">
        <f t="shared" si="1"/>
        <v>Pass</v>
      </c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A2" sqref="A2:F2"/>
    </sheetView>
  </sheetViews>
  <sheetFormatPr defaultRowHeight="15" x14ac:dyDescent="0.25"/>
  <cols>
    <col min="5" max="5" width="12.5703125" customWidth="1"/>
    <col min="6" max="6" width="12.140625" customWidth="1"/>
  </cols>
  <sheetData>
    <row r="1" spans="1:6" x14ac:dyDescent="0.25">
      <c r="A1" s="5" t="s">
        <v>20</v>
      </c>
      <c r="B1" s="5"/>
      <c r="C1" s="5"/>
      <c r="D1" s="5"/>
    </row>
    <row r="2" spans="1:6" x14ac:dyDescent="0.25">
      <c r="A2" s="6" t="s">
        <v>21</v>
      </c>
      <c r="B2" s="6" t="s">
        <v>22</v>
      </c>
      <c r="C2" s="6" t="s">
        <v>23</v>
      </c>
      <c r="D2" s="6" t="s">
        <v>24</v>
      </c>
      <c r="E2" s="6" t="s">
        <v>25</v>
      </c>
      <c r="F2" s="6" t="s">
        <v>26</v>
      </c>
    </row>
    <row r="3" spans="1:6" x14ac:dyDescent="0.25">
      <c r="A3" t="s">
        <v>12</v>
      </c>
      <c r="B3">
        <v>45</v>
      </c>
      <c r="C3">
        <v>56</v>
      </c>
      <c r="D3">
        <v>67</v>
      </c>
      <c r="E3">
        <f>SUM(B3:D3)</f>
        <v>168</v>
      </c>
      <c r="F3" t="str">
        <f>IF(COUNTIF(B3:D3,"&lt;30")=0,"Pass","Fail")</f>
        <v>Pass</v>
      </c>
    </row>
    <row r="4" spans="1:6" x14ac:dyDescent="0.25">
      <c r="A4" t="s">
        <v>13</v>
      </c>
      <c r="B4">
        <v>67</v>
      </c>
      <c r="C4">
        <v>78</v>
      </c>
      <c r="D4">
        <v>67</v>
      </c>
      <c r="E4">
        <f t="shared" ref="E4:E7" si="0">SUM(B4:D4)</f>
        <v>212</v>
      </c>
      <c r="F4" t="str">
        <f t="shared" ref="F4:F7" si="1">IF(COUNTIF(B4:D4,"&lt;30")=0,"Pass","Fail")</f>
        <v>Pass</v>
      </c>
    </row>
    <row r="5" spans="1:6" x14ac:dyDescent="0.25">
      <c r="A5" t="s">
        <v>14</v>
      </c>
      <c r="B5">
        <v>78</v>
      </c>
      <c r="C5">
        <v>89</v>
      </c>
      <c r="D5">
        <v>67</v>
      </c>
      <c r="E5">
        <f t="shared" si="0"/>
        <v>234</v>
      </c>
      <c r="F5" t="str">
        <f t="shared" si="1"/>
        <v>Pass</v>
      </c>
    </row>
    <row r="6" spans="1:6" x14ac:dyDescent="0.25">
      <c r="A6" t="s">
        <v>18</v>
      </c>
      <c r="B6">
        <v>78</v>
      </c>
      <c r="C6">
        <v>89</v>
      </c>
      <c r="D6">
        <v>67</v>
      </c>
      <c r="E6">
        <f t="shared" si="0"/>
        <v>234</v>
      </c>
      <c r="F6" t="str">
        <f t="shared" si="1"/>
        <v>Pass</v>
      </c>
    </row>
    <row r="7" spans="1:6" x14ac:dyDescent="0.25">
      <c r="A7" t="s">
        <v>19</v>
      </c>
      <c r="B7">
        <v>56</v>
      </c>
      <c r="C7">
        <v>67</v>
      </c>
      <c r="D7">
        <v>78</v>
      </c>
      <c r="E7">
        <f t="shared" si="0"/>
        <v>201</v>
      </c>
      <c r="F7" t="str">
        <f t="shared" si="1"/>
        <v>Pass</v>
      </c>
    </row>
  </sheetData>
  <mergeCells count="1"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D7"/>
  <sheetViews>
    <sheetView workbookViewId="0">
      <selection activeCell="A2" sqref="A2:D7"/>
    </sheetView>
  </sheetViews>
  <sheetFormatPr defaultRowHeight="15" x14ac:dyDescent="0.25"/>
  <sheetData>
    <row r="2" spans="1:4" x14ac:dyDescent="0.25">
      <c r="A2" t="s">
        <v>7</v>
      </c>
      <c r="B2" t="s">
        <v>15</v>
      </c>
      <c r="C2" t="s">
        <v>16</v>
      </c>
      <c r="D2" t="s">
        <v>17</v>
      </c>
    </row>
    <row r="3" spans="1:4" x14ac:dyDescent="0.25">
      <c r="A3" t="s">
        <v>12</v>
      </c>
      <c r="B3">
        <v>45</v>
      </c>
      <c r="C3">
        <v>56</v>
      </c>
      <c r="D3">
        <v>67</v>
      </c>
    </row>
    <row r="4" spans="1:4" x14ac:dyDescent="0.25">
      <c r="A4" t="s">
        <v>13</v>
      </c>
      <c r="B4">
        <v>67</v>
      </c>
      <c r="C4">
        <v>78</v>
      </c>
      <c r="D4">
        <v>67</v>
      </c>
    </row>
    <row r="5" spans="1:4" x14ac:dyDescent="0.25">
      <c r="A5" t="s">
        <v>14</v>
      </c>
      <c r="B5">
        <v>78</v>
      </c>
      <c r="C5">
        <v>89</v>
      </c>
      <c r="D5">
        <v>67</v>
      </c>
    </row>
    <row r="6" spans="1:4" x14ac:dyDescent="0.25">
      <c r="A6" t="s">
        <v>18</v>
      </c>
      <c r="B6">
        <v>78</v>
      </c>
      <c r="C6">
        <v>89</v>
      </c>
      <c r="D6">
        <v>67</v>
      </c>
    </row>
    <row r="7" spans="1:4" x14ac:dyDescent="0.25">
      <c r="A7" t="s">
        <v>19</v>
      </c>
      <c r="B7">
        <v>56</v>
      </c>
      <c r="C7">
        <v>67</v>
      </c>
      <c r="D7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0"/>
  <sheetViews>
    <sheetView workbookViewId="0">
      <selection activeCell="A2" sqref="A2:F2"/>
    </sheetView>
  </sheetViews>
  <sheetFormatPr defaultRowHeight="15" x14ac:dyDescent="0.25"/>
  <cols>
    <col min="5" max="5" width="12.5703125" customWidth="1"/>
    <col min="6" max="6" width="12.140625" customWidth="1"/>
  </cols>
  <sheetData>
    <row r="1" spans="1:8" x14ac:dyDescent="0.25">
      <c r="A1" s="5" t="s">
        <v>20</v>
      </c>
      <c r="B1" s="5"/>
      <c r="C1" s="5"/>
      <c r="D1" s="5"/>
    </row>
    <row r="2" spans="1:8" x14ac:dyDescent="0.25">
      <c r="A2" s="6" t="s">
        <v>21</v>
      </c>
      <c r="B2" s="6" t="s">
        <v>22</v>
      </c>
      <c r="C2" s="6" t="s">
        <v>23</v>
      </c>
      <c r="D2" s="6" t="s">
        <v>24</v>
      </c>
      <c r="E2" s="6" t="s">
        <v>25</v>
      </c>
      <c r="F2" s="6" t="s">
        <v>26</v>
      </c>
    </row>
    <row r="3" spans="1:8" x14ac:dyDescent="0.25">
      <c r="E3">
        <f>SUM(B3:D3)</f>
        <v>0</v>
      </c>
      <c r="F3" t="str">
        <f>IF(COUNTIF(B3:D3,"&lt;30")=0,"Pass","Fail")</f>
        <v>Pass</v>
      </c>
    </row>
    <row r="4" spans="1:8" x14ac:dyDescent="0.25">
      <c r="E4">
        <f t="shared" ref="E4:E7" si="0">SUM(B4:D4)</f>
        <v>0</v>
      </c>
      <c r="F4" t="str">
        <f t="shared" ref="F4:F7" si="1">IF(COUNTIF(B4:D4,"&lt;30")=0,"Pass","Fail")</f>
        <v>Pass</v>
      </c>
    </row>
    <row r="5" spans="1:8" x14ac:dyDescent="0.25">
      <c r="E5">
        <f t="shared" si="0"/>
        <v>0</v>
      </c>
      <c r="F5" t="str">
        <f t="shared" si="1"/>
        <v>Pass</v>
      </c>
      <c r="G5" t="s">
        <v>16</v>
      </c>
      <c r="H5" t="s">
        <v>17</v>
      </c>
    </row>
    <row r="6" spans="1:8" x14ac:dyDescent="0.25">
      <c r="E6">
        <f t="shared" si="0"/>
        <v>0</v>
      </c>
      <c r="F6" t="str">
        <f t="shared" si="1"/>
        <v>Pass</v>
      </c>
      <c r="G6">
        <v>56</v>
      </c>
      <c r="H6">
        <v>67</v>
      </c>
    </row>
    <row r="7" spans="1:8" x14ac:dyDescent="0.25">
      <c r="E7">
        <f t="shared" si="0"/>
        <v>0</v>
      </c>
      <c r="F7" t="str">
        <f t="shared" si="1"/>
        <v>Pass</v>
      </c>
      <c r="G7">
        <v>78</v>
      </c>
      <c r="H7">
        <v>67</v>
      </c>
    </row>
    <row r="8" spans="1:8" x14ac:dyDescent="0.25">
      <c r="E8" t="s">
        <v>14</v>
      </c>
      <c r="F8">
        <v>78</v>
      </c>
      <c r="G8">
        <v>89</v>
      </c>
      <c r="H8">
        <v>67</v>
      </c>
    </row>
    <row r="9" spans="1:8" x14ac:dyDescent="0.25">
      <c r="E9" t="s">
        <v>18</v>
      </c>
      <c r="F9">
        <v>78</v>
      </c>
      <c r="G9">
        <v>89</v>
      </c>
      <c r="H9">
        <v>67</v>
      </c>
    </row>
    <row r="10" spans="1:8" x14ac:dyDescent="0.25">
      <c r="E10" t="s">
        <v>19</v>
      </c>
      <c r="F10">
        <v>56</v>
      </c>
      <c r="G10">
        <v>67</v>
      </c>
      <c r="H10">
        <v>78</v>
      </c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6"/>
  <sheetViews>
    <sheetView workbookViewId="0">
      <selection activeCell="A2" sqref="A2"/>
    </sheetView>
  </sheetViews>
  <sheetFormatPr defaultRowHeight="15" x14ac:dyDescent="0.25"/>
  <sheetData>
    <row r="1" spans="1:7" x14ac:dyDescent="0.25">
      <c r="A1">
        <f>SUM(XFB1:XFD1)</f>
        <v>0</v>
      </c>
      <c r="B1" t="s">
        <v>15</v>
      </c>
      <c r="C1" t="s">
        <v>16</v>
      </c>
      <c r="D1" t="s">
        <v>17</v>
      </c>
      <c r="E1" t="s">
        <v>35</v>
      </c>
      <c r="F1" t="s">
        <v>36</v>
      </c>
      <c r="G1" t="s">
        <v>26</v>
      </c>
    </row>
    <row r="2" spans="1:7" x14ac:dyDescent="0.25">
      <c r="A2" t="s">
        <v>12</v>
      </c>
      <c r="B2">
        <v>45</v>
      </c>
      <c r="C2">
        <v>56</v>
      </c>
      <c r="D2">
        <v>67</v>
      </c>
      <c r="F2">
        <f>AVERAGE(B2:D2)</f>
        <v>56</v>
      </c>
      <c r="G2" t="str">
        <f>IF(COUNTIF(B2:D2,"&lt;50")=0,"Pass","Fail")</f>
        <v>Fail</v>
      </c>
    </row>
    <row r="3" spans="1:7" x14ac:dyDescent="0.25">
      <c r="A3" t="s">
        <v>13</v>
      </c>
      <c r="B3">
        <v>67</v>
      </c>
      <c r="C3">
        <v>78</v>
      </c>
      <c r="D3">
        <v>67</v>
      </c>
      <c r="F3">
        <f t="shared" ref="F3:F6" si="0">AVERAGE(B3:D3)</f>
        <v>70.666666666666671</v>
      </c>
      <c r="G3" t="str">
        <f t="shared" ref="G3:G6" si="1">IF(COUNTIF(B3:D3,"&lt;50")=0,"Pass","Fail")</f>
        <v>Pass</v>
      </c>
    </row>
    <row r="4" spans="1:7" x14ac:dyDescent="0.25">
      <c r="A4" t="s">
        <v>14</v>
      </c>
      <c r="B4">
        <v>78</v>
      </c>
      <c r="C4">
        <v>89</v>
      </c>
      <c r="D4">
        <v>67</v>
      </c>
      <c r="F4">
        <f t="shared" si="0"/>
        <v>78</v>
      </c>
      <c r="G4" t="str">
        <f t="shared" si="1"/>
        <v>Pass</v>
      </c>
    </row>
    <row r="5" spans="1:7" x14ac:dyDescent="0.25">
      <c r="A5" t="s">
        <v>18</v>
      </c>
      <c r="B5">
        <v>78</v>
      </c>
      <c r="C5">
        <v>89</v>
      </c>
      <c r="D5">
        <v>67</v>
      </c>
      <c r="F5">
        <f t="shared" si="0"/>
        <v>78</v>
      </c>
      <c r="G5" t="str">
        <f t="shared" si="1"/>
        <v>Pass</v>
      </c>
    </row>
    <row r="6" spans="1:7" x14ac:dyDescent="0.25">
      <c r="A6" t="s">
        <v>19</v>
      </c>
      <c r="B6">
        <v>56</v>
      </c>
      <c r="C6">
        <v>67</v>
      </c>
      <c r="D6">
        <v>78</v>
      </c>
      <c r="F6">
        <f t="shared" si="0"/>
        <v>67</v>
      </c>
      <c r="G6" t="str">
        <f t="shared" si="1"/>
        <v>Pass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6"/>
  <sheetViews>
    <sheetView workbookViewId="0">
      <selection sqref="A1:D6"/>
    </sheetView>
  </sheetViews>
  <sheetFormatPr defaultRowHeight="15" x14ac:dyDescent="0.25"/>
  <sheetData>
    <row r="1" spans="1:7" x14ac:dyDescent="0.25">
      <c r="A1" t="s">
        <v>21</v>
      </c>
      <c r="B1" t="s">
        <v>15</v>
      </c>
      <c r="C1" t="s">
        <v>16</v>
      </c>
      <c r="D1" t="s">
        <v>17</v>
      </c>
      <c r="E1" t="s">
        <v>35</v>
      </c>
      <c r="F1" t="s">
        <v>36</v>
      </c>
      <c r="G1" t="s">
        <v>26</v>
      </c>
    </row>
    <row r="2" spans="1:7" x14ac:dyDescent="0.25">
      <c r="A2" t="s">
        <v>12</v>
      </c>
      <c r="B2">
        <v>45</v>
      </c>
      <c r="C2">
        <v>56</v>
      </c>
      <c r="D2">
        <f>SUM(A2:C2)</f>
        <v>101</v>
      </c>
      <c r="E2" t="s">
        <v>35</v>
      </c>
      <c r="F2" t="s">
        <v>36</v>
      </c>
      <c r="G2" t="s">
        <v>26</v>
      </c>
    </row>
    <row r="3" spans="1:7" x14ac:dyDescent="0.25">
      <c r="A3" t="s">
        <v>13</v>
      </c>
      <c r="B3">
        <v>67</v>
      </c>
      <c r="C3">
        <v>78</v>
      </c>
      <c r="D3">
        <v>67</v>
      </c>
      <c r="E3" t="s">
        <v>35</v>
      </c>
      <c r="F3" t="s">
        <v>36</v>
      </c>
      <c r="G3" t="s">
        <v>26</v>
      </c>
    </row>
    <row r="4" spans="1:7" x14ac:dyDescent="0.25">
      <c r="A4" t="s">
        <v>14</v>
      </c>
      <c r="B4">
        <v>78</v>
      </c>
      <c r="C4">
        <v>89</v>
      </c>
      <c r="D4">
        <v>67</v>
      </c>
      <c r="E4" t="s">
        <v>35</v>
      </c>
      <c r="F4" t="s">
        <v>36</v>
      </c>
      <c r="G4" t="s">
        <v>26</v>
      </c>
    </row>
    <row r="5" spans="1:7" x14ac:dyDescent="0.25">
      <c r="A5" t="s">
        <v>18</v>
      </c>
      <c r="B5">
        <v>78</v>
      </c>
      <c r="C5">
        <v>89</v>
      </c>
      <c r="D5">
        <v>67</v>
      </c>
      <c r="E5" t="s">
        <v>35</v>
      </c>
      <c r="F5" t="s">
        <v>36</v>
      </c>
      <c r="G5" t="s">
        <v>26</v>
      </c>
    </row>
    <row r="6" spans="1:7" x14ac:dyDescent="0.25">
      <c r="A6" t="s">
        <v>19</v>
      </c>
      <c r="B6">
        <v>56</v>
      </c>
      <c r="C6">
        <v>67</v>
      </c>
      <c r="D6">
        <v>78</v>
      </c>
      <c r="E6" t="s">
        <v>35</v>
      </c>
      <c r="F6" t="s">
        <v>36</v>
      </c>
      <c r="G6" t="s">
        <v>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tabSelected="1" workbookViewId="0">
      <selection activeCell="E2" sqref="E2:E6"/>
    </sheetView>
  </sheetViews>
  <sheetFormatPr defaultRowHeight="15" x14ac:dyDescent="0.25"/>
  <sheetData>
    <row r="1" spans="1:5" x14ac:dyDescent="0.25">
      <c r="A1" t="s">
        <v>21</v>
      </c>
      <c r="B1" t="s">
        <v>15</v>
      </c>
      <c r="C1" t="s">
        <v>16</v>
      </c>
      <c r="D1" t="s">
        <v>17</v>
      </c>
    </row>
    <row r="2" spans="1:5" x14ac:dyDescent="0.25">
      <c r="A2" t="s">
        <v>12</v>
      </c>
      <c r="B2">
        <v>45</v>
      </c>
      <c r="C2">
        <v>56</v>
      </c>
      <c r="D2">
        <f>SUM(A2:C2)</f>
        <v>101</v>
      </c>
      <c r="E2">
        <f>SUM(B2:D2)</f>
        <v>202</v>
      </c>
    </row>
    <row r="3" spans="1:5" x14ac:dyDescent="0.25">
      <c r="A3" t="s">
        <v>13</v>
      </c>
      <c r="B3">
        <v>67</v>
      </c>
      <c r="C3">
        <v>78</v>
      </c>
      <c r="D3">
        <v>67</v>
      </c>
      <c r="E3">
        <f t="shared" ref="E3:E6" si="0">SUM(B3:D3)</f>
        <v>212</v>
      </c>
    </row>
    <row r="4" spans="1:5" x14ac:dyDescent="0.25">
      <c r="A4" t="s">
        <v>14</v>
      </c>
      <c r="B4">
        <v>78</v>
      </c>
      <c r="C4">
        <v>89</v>
      </c>
      <c r="D4">
        <v>67</v>
      </c>
      <c r="E4">
        <f t="shared" si="0"/>
        <v>234</v>
      </c>
    </row>
    <row r="5" spans="1:5" x14ac:dyDescent="0.25">
      <c r="A5" t="s">
        <v>18</v>
      </c>
      <c r="B5">
        <v>78</v>
      </c>
      <c r="C5">
        <v>89</v>
      </c>
      <c r="D5">
        <v>67</v>
      </c>
      <c r="E5">
        <f t="shared" si="0"/>
        <v>234</v>
      </c>
    </row>
    <row r="6" spans="1:5" x14ac:dyDescent="0.25">
      <c r="A6" t="s">
        <v>19</v>
      </c>
      <c r="B6">
        <v>56</v>
      </c>
      <c r="C6">
        <v>67</v>
      </c>
      <c r="D6">
        <v>78</v>
      </c>
      <c r="E6">
        <f t="shared" si="0"/>
        <v>201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6"/>
  <sheetViews>
    <sheetView workbookViewId="0">
      <selection activeCell="G2" sqref="G2"/>
    </sheetView>
  </sheetViews>
  <sheetFormatPr defaultRowHeight="15" x14ac:dyDescent="0.25"/>
  <sheetData>
    <row r="1" spans="1:7" x14ac:dyDescent="0.25">
      <c r="A1">
        <f>SUM(XFB1:XFD1)</f>
        <v>0</v>
      </c>
      <c r="B1" t="s">
        <v>15</v>
      </c>
      <c r="C1" t="s">
        <v>16</v>
      </c>
      <c r="D1" t="s">
        <v>17</v>
      </c>
      <c r="E1" t="s">
        <v>35</v>
      </c>
      <c r="F1" t="s">
        <v>36</v>
      </c>
      <c r="G1" t="s">
        <v>26</v>
      </c>
    </row>
    <row r="2" spans="1:7" x14ac:dyDescent="0.25">
      <c r="A2" t="s">
        <v>12</v>
      </c>
      <c r="B2">
        <v>45</v>
      </c>
      <c r="C2">
        <v>56</v>
      </c>
      <c r="D2">
        <v>67</v>
      </c>
      <c r="E2" t="s">
        <v>35</v>
      </c>
      <c r="F2" t="s">
        <v>36</v>
      </c>
      <c r="G2" t="s">
        <v>26</v>
      </c>
    </row>
    <row r="3" spans="1:7" x14ac:dyDescent="0.25">
      <c r="A3" t="s">
        <v>13</v>
      </c>
      <c r="B3">
        <v>67</v>
      </c>
      <c r="C3">
        <v>78</v>
      </c>
      <c r="D3">
        <v>67</v>
      </c>
      <c r="E3" t="s">
        <v>35</v>
      </c>
      <c r="F3" t="s">
        <v>36</v>
      </c>
      <c r="G3" t="s">
        <v>26</v>
      </c>
    </row>
    <row r="4" spans="1:7" x14ac:dyDescent="0.25">
      <c r="A4" t="s">
        <v>14</v>
      </c>
      <c r="B4">
        <v>78</v>
      </c>
      <c r="C4">
        <v>89</v>
      </c>
      <c r="D4">
        <v>67</v>
      </c>
      <c r="E4" t="s">
        <v>35</v>
      </c>
      <c r="F4" t="s">
        <v>36</v>
      </c>
      <c r="G4" t="s">
        <v>26</v>
      </c>
    </row>
    <row r="5" spans="1:7" x14ac:dyDescent="0.25">
      <c r="A5" t="s">
        <v>18</v>
      </c>
      <c r="B5">
        <v>78</v>
      </c>
      <c r="C5">
        <v>89</v>
      </c>
      <c r="D5">
        <v>67</v>
      </c>
      <c r="E5" t="s">
        <v>35</v>
      </c>
      <c r="F5" t="s">
        <v>36</v>
      </c>
      <c r="G5" t="s">
        <v>26</v>
      </c>
    </row>
    <row r="6" spans="1:7" x14ac:dyDescent="0.25">
      <c r="A6" t="s">
        <v>19</v>
      </c>
      <c r="B6">
        <v>56</v>
      </c>
      <c r="C6">
        <v>67</v>
      </c>
      <c r="D6">
        <f>SUM(A6:C6)</f>
        <v>123</v>
      </c>
      <c r="E6" t="s">
        <v>35</v>
      </c>
      <c r="F6" t="s">
        <v>36</v>
      </c>
      <c r="G6" t="s">
        <v>26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6"/>
  <sheetViews>
    <sheetView workbookViewId="0">
      <selection sqref="A1:D6"/>
    </sheetView>
  </sheetViews>
  <sheetFormatPr defaultRowHeight="15" x14ac:dyDescent="0.25"/>
  <sheetData>
    <row r="1" spans="1:5" x14ac:dyDescent="0.25">
      <c r="A1" t="s">
        <v>7</v>
      </c>
      <c r="B1" t="s">
        <v>15</v>
      </c>
      <c r="C1" t="s">
        <v>16</v>
      </c>
      <c r="D1" t="s">
        <v>17</v>
      </c>
    </row>
    <row r="2" spans="1:5" x14ac:dyDescent="0.25">
      <c r="A2" t="s">
        <v>12</v>
      </c>
      <c r="B2">
        <v>45</v>
      </c>
      <c r="C2">
        <v>56</v>
      </c>
      <c r="D2">
        <v>67</v>
      </c>
      <c r="E2">
        <f>SUM(B2:D2)</f>
        <v>168</v>
      </c>
    </row>
    <row r="3" spans="1:5" x14ac:dyDescent="0.25">
      <c r="A3" t="s">
        <v>13</v>
      </c>
      <c r="B3">
        <v>67</v>
      </c>
      <c r="C3">
        <v>78</v>
      </c>
      <c r="D3">
        <v>67</v>
      </c>
      <c r="E3">
        <f t="shared" ref="E3:E6" si="0">SUM(B3:D3)</f>
        <v>212</v>
      </c>
    </row>
    <row r="4" spans="1:5" x14ac:dyDescent="0.25">
      <c r="A4" t="s">
        <v>14</v>
      </c>
      <c r="B4">
        <v>78</v>
      </c>
      <c r="C4">
        <v>89</v>
      </c>
      <c r="D4">
        <v>67</v>
      </c>
      <c r="E4">
        <f t="shared" si="0"/>
        <v>234</v>
      </c>
    </row>
    <row r="5" spans="1:5" x14ac:dyDescent="0.25">
      <c r="A5" t="s">
        <v>18</v>
      </c>
      <c r="B5">
        <v>78</v>
      </c>
      <c r="C5">
        <v>89</v>
      </c>
      <c r="D5">
        <v>67</v>
      </c>
      <c r="E5">
        <f t="shared" si="0"/>
        <v>234</v>
      </c>
    </row>
    <row r="6" spans="1:5" x14ac:dyDescent="0.25">
      <c r="A6" t="s">
        <v>19</v>
      </c>
      <c r="B6">
        <v>56</v>
      </c>
      <c r="C6">
        <v>67</v>
      </c>
      <c r="D6">
        <v>78</v>
      </c>
      <c r="E6">
        <f t="shared" si="0"/>
        <v>201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6"/>
  <sheetViews>
    <sheetView workbookViewId="0">
      <selection activeCell="E2" sqref="E2:E6"/>
    </sheetView>
  </sheetViews>
  <sheetFormatPr defaultRowHeight="15" x14ac:dyDescent="0.25"/>
  <sheetData>
    <row r="1" spans="1:5" x14ac:dyDescent="0.25">
      <c r="A1" t="s">
        <v>7</v>
      </c>
      <c r="B1" t="s">
        <v>15</v>
      </c>
      <c r="C1" t="s">
        <v>16</v>
      </c>
      <c r="D1" t="s">
        <v>17</v>
      </c>
    </row>
    <row r="2" spans="1:5" x14ac:dyDescent="0.25">
      <c r="A2" t="s">
        <v>12</v>
      </c>
      <c r="B2">
        <v>45</v>
      </c>
      <c r="C2">
        <v>56</v>
      </c>
      <c r="D2">
        <v>67</v>
      </c>
      <c r="E2">
        <f>SUM(B2:D2)</f>
        <v>168</v>
      </c>
    </row>
    <row r="3" spans="1:5" x14ac:dyDescent="0.25">
      <c r="A3" t="s">
        <v>13</v>
      </c>
      <c r="B3">
        <v>67</v>
      </c>
      <c r="C3">
        <v>78</v>
      </c>
      <c r="D3">
        <v>67</v>
      </c>
      <c r="E3">
        <f t="shared" ref="E3:E6" si="0">SUM(B3:D3)</f>
        <v>212</v>
      </c>
    </row>
    <row r="4" spans="1:5" x14ac:dyDescent="0.25">
      <c r="A4" t="s">
        <v>14</v>
      </c>
      <c r="B4">
        <v>78</v>
      </c>
      <c r="C4">
        <v>89</v>
      </c>
      <c r="D4">
        <v>67</v>
      </c>
      <c r="E4">
        <f t="shared" si="0"/>
        <v>234</v>
      </c>
    </row>
    <row r="5" spans="1:5" x14ac:dyDescent="0.25">
      <c r="A5" t="s">
        <v>18</v>
      </c>
      <c r="B5">
        <v>78</v>
      </c>
      <c r="C5">
        <v>89</v>
      </c>
      <c r="D5">
        <v>67</v>
      </c>
      <c r="E5">
        <f t="shared" si="0"/>
        <v>234</v>
      </c>
    </row>
    <row r="6" spans="1:5" x14ac:dyDescent="0.25">
      <c r="A6" t="s">
        <v>19</v>
      </c>
      <c r="B6">
        <v>56</v>
      </c>
      <c r="C6">
        <v>67</v>
      </c>
      <c r="D6">
        <v>78</v>
      </c>
      <c r="E6">
        <f t="shared" si="0"/>
        <v>201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DateFunction</vt:lpstr>
      <vt:lpstr>Macro</vt:lpstr>
      <vt:lpstr>Sheet3</vt:lpstr>
      <vt:lpstr>Sheet7</vt:lpstr>
      <vt:lpstr>Sheet4</vt:lpstr>
      <vt:lpstr>Sheet5</vt:lpstr>
      <vt:lpstr>Sheet6</vt:lpstr>
      <vt:lpstr>Sheet9</vt:lpstr>
      <vt:lpstr>Sheet8</vt:lpstr>
      <vt:lpstr>Sheet13</vt:lpstr>
      <vt:lpstr>Sheet10</vt:lpstr>
      <vt:lpstr>Sheet11</vt:lpstr>
      <vt:lpstr>Sheet12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2020-01-27T04:28:13Z</dcterms:created>
  <dcterms:modified xsi:type="dcterms:W3CDTF">2020-01-27T05:10:25Z</dcterms:modified>
</cp:coreProperties>
</file>